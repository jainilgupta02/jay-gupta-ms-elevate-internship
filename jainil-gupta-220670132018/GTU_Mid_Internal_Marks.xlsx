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TU Mid Internal Mar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<sst xmlns="http://schemas.openxmlformats.org/spreadsheetml/2006/main" count="216" uniqueCount="66">
  <si>
    <t xml:space="preserve">Gujarat Technological University — Mid Internal Marks (Sem 8, S2026)</t>
  </si>
  <si>
    <t xml:space="preserve">Institute Code: 067  |  Course: BE  |  Subject: Internship/Project (3183201)  |  Out of Internal: 100</t>
  </si>
  <si>
    <t xml:space="preserve">Sr. No.</t>
  </si>
  <si>
    <t xml:space="preserve">Enrollment No.</t>
  </si>
  <si>
    <t xml:space="preserve">Batch Year</t>
  </si>
  <si>
    <t xml:space="preserve">Institute</t>
  </si>
  <si>
    <t xml:space="preserve">Subject Code</t>
  </si>
  <si>
    <t xml:space="preserve">Subject Name</t>
  </si>
  <si>
    <t xml:space="preserve">Out of Internal</t>
  </si>
  <si>
    <t xml:space="preserve">Internal Mark</t>
  </si>
  <si>
    <t xml:space="preserve">Percentage (%)</t>
  </si>
  <si>
    <t xml:space="preserve">Grade</t>
  </si>
  <si>
    <t xml:space="preserve">230673132001</t>
  </si>
  <si>
    <t xml:space="preserve">2023</t>
  </si>
  <si>
    <t xml:space="preserve">067</t>
  </si>
  <si>
    <t xml:space="preserve">3183201</t>
  </si>
  <si>
    <t xml:space="preserve">Internship/Project</t>
  </si>
  <si>
    <t xml:space="preserve">230673132002</t>
  </si>
  <si>
    <t xml:space="preserve">230673132005</t>
  </si>
  <si>
    <t xml:space="preserve">220673132008</t>
  </si>
  <si>
    <t xml:space="preserve">2022</t>
  </si>
  <si>
    <t xml:space="preserve">220670132022</t>
  </si>
  <si>
    <t xml:space="preserve">220670132024</t>
  </si>
  <si>
    <t xml:space="preserve">220670132028</t>
  </si>
  <si>
    <t xml:space="preserve">220670132029</t>
  </si>
  <si>
    <t xml:space="preserve">220670132030</t>
  </si>
  <si>
    <t xml:space="preserve">220670132031</t>
  </si>
  <si>
    <t xml:space="preserve">220670132032</t>
  </si>
  <si>
    <t xml:space="preserve">220670132034</t>
  </si>
  <si>
    <t xml:space="preserve">220670132037</t>
  </si>
  <si>
    <t xml:space="preserve">220670132039</t>
  </si>
  <si>
    <t xml:space="preserve">220670132041</t>
  </si>
  <si>
    <t xml:space="preserve">220670132042</t>
  </si>
  <si>
    <t xml:space="preserve">220670132043</t>
  </si>
  <si>
    <t xml:space="preserve">220670132048</t>
  </si>
  <si>
    <t xml:space="preserve">220670132057</t>
  </si>
  <si>
    <t xml:space="preserve">220670132060</t>
  </si>
  <si>
    <t xml:space="preserve">220670132003</t>
  </si>
  <si>
    <t xml:space="preserve">220670132006</t>
  </si>
  <si>
    <t xml:space="preserve">220670132007</t>
  </si>
  <si>
    <t xml:space="preserve">220670132009</t>
  </si>
  <si>
    <t xml:space="preserve">220670132010</t>
  </si>
  <si>
    <t xml:space="preserve">220670132013</t>
  </si>
  <si>
    <t xml:space="preserve">220670132014</t>
  </si>
  <si>
    <t xml:space="preserve">220670132015</t>
  </si>
  <si>
    <t xml:space="preserve">220670132018</t>
  </si>
  <si>
    <t xml:space="preserve">220670132019</t>
  </si>
  <si>
    <t xml:space="preserve">220670132020</t>
  </si>
  <si>
    <t xml:space="preserve">210670132029</t>
  </si>
  <si>
    <t xml:space="preserve">2021</t>
  </si>
  <si>
    <t xml:space="preserve">210670132058</t>
  </si>
  <si>
    <t xml:space="preserve">210670132065</t>
  </si>
  <si>
    <t xml:space="preserve">210670132016</t>
  </si>
  <si>
    <t xml:space="preserve">210670132026</t>
  </si>
  <si>
    <t xml:space="preserve">210670132092</t>
  </si>
  <si>
    <t xml:space="preserve">210670132097</t>
  </si>
  <si>
    <t xml:space="preserve">210670132098</t>
  </si>
  <si>
    <t xml:space="preserve">Summary Statistics</t>
  </si>
  <si>
    <t xml:space="preserve">Total Students</t>
  </si>
  <si>
    <t xml:space="preserve">Highest Mark</t>
  </si>
  <si>
    <t xml:space="preserve">Lowest Mark</t>
  </si>
  <si>
    <t xml:space="preserve">Average Mark</t>
  </si>
  <si>
    <t xml:space="preserve">Count ≥ 90 (O)</t>
  </si>
  <si>
    <t xml:space="preserve">Count ≥ 75 (A+)</t>
  </si>
  <si>
    <t xml:space="preserve">Count ≥ 60 (A)</t>
  </si>
  <si>
    <t xml:space="preserve">Count &lt; 60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</si>
</sst>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sz val="10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6E4F0"/>
        <bgColor rgb="FFDEEAF1"/>
      </patternFill>
    </fill>
    <fill>
      <patternFill patternType="solid">
        <fgColor rgb="FFEBF3FB"/>
        <bgColor rgb="FFDEEAF1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4F0"/>
      </patternFill>
    </fill>
    <fill>
      <patternFill patternType="solid">
        <fgColor rgb="FFFFFFFF"/>
        <bgColor rgb="FFEBF3FB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5.75" hidden="false" customHeight="true" outlineLevel="0" collapsed="false">
      <c r="A4" s="4" t="n">
        <v>1</v>
      </c>
      <c r="B4" s="4" t="s">
        <v>12</v>
      </c>
      <c r="C4" s="4" t="s">
        <v>13</v>
      </c>
      <c r="D4" s="4" t="s">
        <v>14</v>
      </c>
      <c r="E4" s="4" t="s">
        <v>15</v>
      </c>
      <c r="F4" s="5" t="s">
        <v>16</v>
      </c>
      <c r="G4" s="4" t="n">
        <v>100</v>
      </c>
      <c r="H4" s="4" t="n">
        <v>85</v>
      </c>
      <c r="I4" s="4" t="n">
        <f aca="false">H4/G4*100</f>
        <v>85</v>
      </c>
      <c r="J4" s="4" t="str">
        <f aca="false">IF(H4&gt;=90,"O",IF(H4&gt;=75,"A+",IF(H4&gt;=60,"A",IF(H4&gt;=50,"B+","B"))))</f>
        <v>A+</v>
      </c>
    </row>
    <row r="5" customFormat="false" ht="15.75" hidden="false" customHeight="true" outlineLevel="0" collapsed="false">
      <c r="A5" s="6" t="n">
        <v>2</v>
      </c>
      <c r="B5" s="6" t="s">
        <v>17</v>
      </c>
      <c r="C5" s="6" t="s">
        <v>13</v>
      </c>
      <c r="D5" s="6" t="s">
        <v>14</v>
      </c>
      <c r="E5" s="6" t="s">
        <v>15</v>
      </c>
      <c r="F5" s="7" t="s">
        <v>16</v>
      </c>
      <c r="G5" s="6" t="n">
        <v>100</v>
      </c>
      <c r="H5" s="6" t="n">
        <v>86</v>
      </c>
      <c r="I5" s="6" t="n">
        <f aca="false">H5/G5*100</f>
        <v>86</v>
      </c>
      <c r="J5" s="6" t="str">
        <f aca="false">IF(H5&gt;=90,"O",IF(H5&gt;=75,"A+",IF(H5&gt;=60,"A",IF(H5&gt;=50,"B+","B"))))</f>
        <v>A+</v>
      </c>
    </row>
    <row r="6" customFormat="false" ht="15.75" hidden="false" customHeight="true" outlineLevel="0" collapsed="false">
      <c r="A6" s="4" t="n">
        <v>3</v>
      </c>
      <c r="B6" s="4" t="s">
        <v>18</v>
      </c>
      <c r="C6" s="4" t="s">
        <v>13</v>
      </c>
      <c r="D6" s="4" t="s">
        <v>14</v>
      </c>
      <c r="E6" s="4" t="s">
        <v>15</v>
      </c>
      <c r="F6" s="5" t="s">
        <v>16</v>
      </c>
      <c r="G6" s="4" t="n">
        <v>100</v>
      </c>
      <c r="H6" s="4" t="n">
        <v>91</v>
      </c>
      <c r="I6" s="4" t="n">
        <f aca="false">H6/G6*100</f>
        <v>91</v>
      </c>
      <c r="J6" s="4" t="str">
        <f aca="false">IF(H6&gt;=90,"O",IF(H6&gt;=75,"A+",IF(H6&gt;=60,"A",IF(H6&gt;=50,"B+","B"))))</f>
        <v>O</v>
      </c>
    </row>
    <row r="7" customFormat="false" ht="15.75" hidden="false" customHeight="true" outlineLevel="0" collapsed="false">
      <c r="A7" s="6" t="n">
        <v>4</v>
      </c>
      <c r="B7" s="6" t="s">
        <v>19</v>
      </c>
      <c r="C7" s="6" t="s">
        <v>20</v>
      </c>
      <c r="D7" s="6" t="s">
        <v>14</v>
      </c>
      <c r="E7" s="6" t="s">
        <v>15</v>
      </c>
      <c r="F7" s="7" t="s">
        <v>16</v>
      </c>
      <c r="G7" s="6" t="n">
        <v>100</v>
      </c>
      <c r="H7" s="6" t="n">
        <v>77</v>
      </c>
      <c r="I7" s="6" t="n">
        <f aca="false">H7/G7*100</f>
        <v>77</v>
      </c>
      <c r="J7" s="6" t="str">
        <f aca="false">IF(H7&gt;=90,"O",IF(H7&gt;=75,"A+",IF(H7&gt;=60,"A",IF(H7&gt;=50,"B+","B"))))</f>
        <v>A+</v>
      </c>
    </row>
    <row r="8" customFormat="false" ht="15.75" hidden="false" customHeight="true" outlineLevel="0" collapsed="false">
      <c r="A8" s="4" t="n">
        <v>5</v>
      </c>
      <c r="B8" s="4" t="s">
        <v>21</v>
      </c>
      <c r="C8" s="4" t="s">
        <v>20</v>
      </c>
      <c r="D8" s="4" t="s">
        <v>14</v>
      </c>
      <c r="E8" s="4" t="s">
        <v>15</v>
      </c>
      <c r="F8" s="5" t="s">
        <v>16</v>
      </c>
      <c r="G8" s="4" t="n">
        <v>100</v>
      </c>
      <c r="H8" s="4" t="n">
        <v>86</v>
      </c>
      <c r="I8" s="4" t="n">
        <f aca="false">H8/G8*100</f>
        <v>86</v>
      </c>
      <c r="J8" s="4" t="str">
        <f aca="false">IF(H8&gt;=90,"O",IF(H8&gt;=75,"A+",IF(H8&gt;=60,"A",IF(H8&gt;=50,"B+","B"))))</f>
        <v>A+</v>
      </c>
    </row>
    <row r="9" customFormat="false" ht="15.75" hidden="false" customHeight="true" outlineLevel="0" collapsed="false">
      <c r="A9" s="6" t="n">
        <v>6</v>
      </c>
      <c r="B9" s="6" t="s">
        <v>22</v>
      </c>
      <c r="C9" s="6" t="s">
        <v>20</v>
      </c>
      <c r="D9" s="6" t="s">
        <v>14</v>
      </c>
      <c r="E9" s="6" t="s">
        <v>15</v>
      </c>
      <c r="F9" s="7" t="s">
        <v>16</v>
      </c>
      <c r="G9" s="6" t="n">
        <v>100</v>
      </c>
      <c r="H9" s="6" t="n">
        <v>79</v>
      </c>
      <c r="I9" s="6" t="n">
        <f aca="false">H9/G9*100</f>
        <v>79</v>
      </c>
      <c r="J9" s="6" t="str">
        <f aca="false">IF(H9&gt;=90,"O",IF(H9&gt;=75,"A+",IF(H9&gt;=60,"A",IF(H9&gt;=50,"B+","B"))))</f>
        <v>A+</v>
      </c>
    </row>
    <row r="10" customFormat="false" ht="15.75" hidden="false" customHeight="true" outlineLevel="0" collapsed="false">
      <c r="A10" s="4" t="n">
        <v>7</v>
      </c>
      <c r="B10" s="4" t="s">
        <v>23</v>
      </c>
      <c r="C10" s="4" t="s">
        <v>20</v>
      </c>
      <c r="D10" s="4" t="s">
        <v>14</v>
      </c>
      <c r="E10" s="4" t="s">
        <v>15</v>
      </c>
      <c r="F10" s="5" t="s">
        <v>16</v>
      </c>
      <c r="G10" s="4" t="n">
        <v>100</v>
      </c>
      <c r="H10" s="4" t="n">
        <v>85</v>
      </c>
      <c r="I10" s="4" t="n">
        <f aca="false">H10/G10*100</f>
        <v>85</v>
      </c>
      <c r="J10" s="4" t="str">
        <f aca="false">IF(H10&gt;=90,"O",IF(H10&gt;=75,"A+",IF(H10&gt;=60,"A",IF(H10&gt;=50,"B+","B"))))</f>
        <v>A+</v>
      </c>
    </row>
    <row r="11" customFormat="false" ht="15.75" hidden="false" customHeight="true" outlineLevel="0" collapsed="false">
      <c r="A11" s="6" t="n">
        <v>8</v>
      </c>
      <c r="B11" s="6" t="s">
        <v>24</v>
      </c>
      <c r="C11" s="6" t="s">
        <v>20</v>
      </c>
      <c r="D11" s="6" t="s">
        <v>14</v>
      </c>
      <c r="E11" s="6" t="s">
        <v>15</v>
      </c>
      <c r="F11" s="7" t="s">
        <v>16</v>
      </c>
      <c r="G11" s="6" t="n">
        <v>100</v>
      </c>
      <c r="H11" s="6" t="n">
        <v>85</v>
      </c>
      <c r="I11" s="6" t="n">
        <f aca="false">H11/G11*100</f>
        <v>85</v>
      </c>
      <c r="J11" s="6" t="str">
        <f aca="false">IF(H11&gt;=90,"O",IF(H11&gt;=75,"A+",IF(H11&gt;=60,"A",IF(H11&gt;=50,"B+","B"))))</f>
        <v>A+</v>
      </c>
    </row>
    <row r="12" customFormat="false" ht="15.75" hidden="false" customHeight="true" outlineLevel="0" collapsed="false">
      <c r="A12" s="4" t="n">
        <v>9</v>
      </c>
      <c r="B12" s="4" t="s">
        <v>25</v>
      </c>
      <c r="C12" s="4" t="s">
        <v>20</v>
      </c>
      <c r="D12" s="4" t="s">
        <v>14</v>
      </c>
      <c r="E12" s="4" t="s">
        <v>15</v>
      </c>
      <c r="F12" s="5" t="s">
        <v>16</v>
      </c>
      <c r="G12" s="4" t="n">
        <v>100</v>
      </c>
      <c r="H12" s="4" t="n">
        <v>85</v>
      </c>
      <c r="I12" s="4" t="n">
        <f aca="false">H12/G12*100</f>
        <v>85</v>
      </c>
      <c r="J12" s="4" t="str">
        <f aca="false">IF(H12&gt;=90,"O",IF(H12&gt;=75,"A+",IF(H12&gt;=60,"A",IF(H12&gt;=50,"B+","B"))))</f>
        <v>A+</v>
      </c>
    </row>
    <row r="13" customFormat="false" ht="15.75" hidden="false" customHeight="true" outlineLevel="0" collapsed="false">
      <c r="A13" s="6" t="n">
        <v>10</v>
      </c>
      <c r="B13" s="6" t="s">
        <v>26</v>
      </c>
      <c r="C13" s="6" t="s">
        <v>20</v>
      </c>
      <c r="D13" s="6" t="s">
        <v>14</v>
      </c>
      <c r="E13" s="6" t="s">
        <v>15</v>
      </c>
      <c r="F13" s="7" t="s">
        <v>16</v>
      </c>
      <c r="G13" s="6" t="n">
        <v>100</v>
      </c>
      <c r="H13" s="6" t="n">
        <v>75</v>
      </c>
      <c r="I13" s="6" t="n">
        <f aca="false">H13/G13*100</f>
        <v>75</v>
      </c>
      <c r="J13" s="6" t="str">
        <f aca="false">IF(H13&gt;=90,"O",IF(H13&gt;=75,"A+",IF(H13&gt;=60,"A",IF(H13&gt;=50,"B+","B"))))</f>
        <v>A+</v>
      </c>
    </row>
    <row r="14" customFormat="false" ht="15.75" hidden="false" customHeight="true" outlineLevel="0" collapsed="false">
      <c r="A14" s="4" t="n">
        <v>11</v>
      </c>
      <c r="B14" s="4" t="s">
        <v>27</v>
      </c>
      <c r="C14" s="4" t="s">
        <v>20</v>
      </c>
      <c r="D14" s="4" t="s">
        <v>14</v>
      </c>
      <c r="E14" s="4" t="s">
        <v>15</v>
      </c>
      <c r="F14" s="5" t="s">
        <v>16</v>
      </c>
      <c r="G14" s="4" t="n">
        <v>100</v>
      </c>
      <c r="H14" s="4" t="n">
        <v>79</v>
      </c>
      <c r="I14" s="4" t="n">
        <f aca="false">H14/G14*100</f>
        <v>79</v>
      </c>
      <c r="J14" s="4" t="str">
        <f aca="false">IF(H14&gt;=90,"O",IF(H14&gt;=75,"A+",IF(H14&gt;=60,"A",IF(H14&gt;=50,"B+","B"))))</f>
        <v>A+</v>
      </c>
    </row>
    <row r="15" customFormat="false" ht="15.75" hidden="false" customHeight="true" outlineLevel="0" collapsed="false">
      <c r="A15" s="6" t="n">
        <v>12</v>
      </c>
      <c r="B15" s="6" t="s">
        <v>28</v>
      </c>
      <c r="C15" s="6" t="s">
        <v>20</v>
      </c>
      <c r="D15" s="6" t="s">
        <v>14</v>
      </c>
      <c r="E15" s="6" t="s">
        <v>15</v>
      </c>
      <c r="F15" s="7" t="s">
        <v>16</v>
      </c>
      <c r="G15" s="6" t="n">
        <v>100</v>
      </c>
      <c r="H15" s="6" t="n">
        <v>65</v>
      </c>
      <c r="I15" s="6" t="n">
        <f aca="false">H15/G15*100</f>
        <v>65</v>
      </c>
      <c r="J15" s="6" t="str">
        <f aca="false">IF(H15&gt;=90,"O",IF(H15&gt;=75,"A+",IF(H15&gt;=60,"A",IF(H15&gt;=50,"B+","B"))))</f>
        <v>A</v>
      </c>
    </row>
    <row r="16" customFormat="false" ht="15.75" hidden="false" customHeight="true" outlineLevel="0" collapsed="false">
      <c r="A16" s="4" t="n">
        <v>13</v>
      </c>
      <c r="B16" s="4" t="s">
        <v>29</v>
      </c>
      <c r="C16" s="4" t="s">
        <v>20</v>
      </c>
      <c r="D16" s="4" t="s">
        <v>14</v>
      </c>
      <c r="E16" s="4" t="s">
        <v>15</v>
      </c>
      <c r="F16" s="5" t="s">
        <v>16</v>
      </c>
      <c r="G16" s="4" t="n">
        <v>100</v>
      </c>
      <c r="H16" s="4" t="n">
        <v>91</v>
      </c>
      <c r="I16" s="4" t="n">
        <f aca="false">H16/G16*100</f>
        <v>91</v>
      </c>
      <c r="J16" s="4" t="str">
        <f aca="false">IF(H16&gt;=90,"O",IF(H16&gt;=75,"A+",IF(H16&gt;=60,"A",IF(H16&gt;=50,"B+","B"))))</f>
        <v>O</v>
      </c>
    </row>
    <row r="17" customFormat="false" ht="15.75" hidden="false" customHeight="true" outlineLevel="0" collapsed="false">
      <c r="A17" s="6" t="n">
        <v>14</v>
      </c>
      <c r="B17" s="6" t="s">
        <v>30</v>
      </c>
      <c r="C17" s="6" t="s">
        <v>20</v>
      </c>
      <c r="D17" s="6" t="s">
        <v>14</v>
      </c>
      <c r="E17" s="6" t="s">
        <v>15</v>
      </c>
      <c r="F17" s="7" t="s">
        <v>16</v>
      </c>
      <c r="G17" s="6" t="n">
        <v>100</v>
      </c>
      <c r="H17" s="6" t="n">
        <v>87</v>
      </c>
      <c r="I17" s="6" t="n">
        <f aca="false">H17/G17*100</f>
        <v>87</v>
      </c>
      <c r="J17" s="6" t="str">
        <f aca="false">IF(H17&gt;=90,"O",IF(H17&gt;=75,"A+",IF(H17&gt;=60,"A",IF(H17&gt;=50,"B+","B"))))</f>
        <v>A+</v>
      </c>
    </row>
    <row r="18" customFormat="false" ht="15.75" hidden="false" customHeight="true" outlineLevel="0" collapsed="false">
      <c r="A18" s="4" t="n">
        <v>15</v>
      </c>
      <c r="B18" s="4" t="s">
        <v>31</v>
      </c>
      <c r="C18" s="4" t="s">
        <v>20</v>
      </c>
      <c r="D18" s="4" t="s">
        <v>14</v>
      </c>
      <c r="E18" s="4" t="s">
        <v>15</v>
      </c>
      <c r="F18" s="5" t="s">
        <v>16</v>
      </c>
      <c r="G18" s="4" t="n">
        <v>100</v>
      </c>
      <c r="H18" s="4" t="n">
        <v>69</v>
      </c>
      <c r="I18" s="4" t="n">
        <f aca="false">H18/G18*100</f>
        <v>69</v>
      </c>
      <c r="J18" s="4" t="str">
        <f aca="false">IF(H18&gt;=90,"O",IF(H18&gt;=75,"A+",IF(H18&gt;=60,"A",IF(H18&gt;=50,"B+","B"))))</f>
        <v>A</v>
      </c>
    </row>
    <row r="19" customFormat="false" ht="15.75" hidden="false" customHeight="true" outlineLevel="0" collapsed="false">
      <c r="A19" s="6" t="n">
        <v>16</v>
      </c>
      <c r="B19" s="6" t="s">
        <v>32</v>
      </c>
      <c r="C19" s="6" t="s">
        <v>20</v>
      </c>
      <c r="D19" s="6" t="s">
        <v>14</v>
      </c>
      <c r="E19" s="6" t="s">
        <v>15</v>
      </c>
      <c r="F19" s="7" t="s">
        <v>16</v>
      </c>
      <c r="G19" s="6" t="n">
        <v>100</v>
      </c>
      <c r="H19" s="6" t="n">
        <v>85</v>
      </c>
      <c r="I19" s="6" t="n">
        <f aca="false">H19/G19*100</f>
        <v>85</v>
      </c>
      <c r="J19" s="6" t="str">
        <f aca="false">IF(H19&gt;=90,"O",IF(H19&gt;=75,"A+",IF(H19&gt;=60,"A",IF(H19&gt;=50,"B+","B"))))</f>
        <v>A+</v>
      </c>
    </row>
    <row r="20" customFormat="false" ht="15.75" hidden="false" customHeight="true" outlineLevel="0" collapsed="false">
      <c r="A20" s="4" t="n">
        <v>17</v>
      </c>
      <c r="B20" s="4" t="s">
        <v>33</v>
      </c>
      <c r="C20" s="4" t="s">
        <v>20</v>
      </c>
      <c r="D20" s="4" t="s">
        <v>14</v>
      </c>
      <c r="E20" s="4" t="s">
        <v>15</v>
      </c>
      <c r="F20" s="5" t="s">
        <v>16</v>
      </c>
      <c r="G20" s="4" t="n">
        <v>100</v>
      </c>
      <c r="H20" s="4" t="n">
        <v>88</v>
      </c>
      <c r="I20" s="4" t="n">
        <f aca="false">H20/G20*100</f>
        <v>88</v>
      </c>
      <c r="J20" s="4" t="str">
        <f aca="false">IF(H20&gt;=90,"O",IF(H20&gt;=75,"A+",IF(H20&gt;=60,"A",IF(H20&gt;=50,"B+","B"))))</f>
        <v>A+</v>
      </c>
    </row>
    <row r="21" customFormat="false" ht="15.75" hidden="false" customHeight="true" outlineLevel="0" collapsed="false">
      <c r="A21" s="6" t="n">
        <v>18</v>
      </c>
      <c r="B21" s="6" t="s">
        <v>34</v>
      </c>
      <c r="C21" s="6" t="s">
        <v>20</v>
      </c>
      <c r="D21" s="6" t="s">
        <v>14</v>
      </c>
      <c r="E21" s="6" t="s">
        <v>15</v>
      </c>
      <c r="F21" s="7" t="s">
        <v>16</v>
      </c>
      <c r="G21" s="6" t="n">
        <v>100</v>
      </c>
      <c r="H21" s="6" t="n">
        <v>76</v>
      </c>
      <c r="I21" s="6" t="n">
        <f aca="false">H21/G21*100</f>
        <v>76</v>
      </c>
      <c r="J21" s="6" t="str">
        <f aca="false">IF(H21&gt;=90,"O",IF(H21&gt;=75,"A+",IF(H21&gt;=60,"A",IF(H21&gt;=50,"B+","B"))))</f>
        <v>A+</v>
      </c>
    </row>
    <row r="22" customFormat="false" ht="15.75" hidden="false" customHeight="true" outlineLevel="0" collapsed="false">
      <c r="A22" s="4" t="n">
        <v>19</v>
      </c>
      <c r="B22" s="4" t="s">
        <v>35</v>
      </c>
      <c r="C22" s="4" t="s">
        <v>20</v>
      </c>
      <c r="D22" s="4" t="s">
        <v>14</v>
      </c>
      <c r="E22" s="4" t="s">
        <v>15</v>
      </c>
      <c r="F22" s="5" t="s">
        <v>16</v>
      </c>
      <c r="G22" s="4" t="n">
        <v>100</v>
      </c>
      <c r="H22" s="4" t="n">
        <v>86</v>
      </c>
      <c r="I22" s="4" t="n">
        <f aca="false">H22/G22*100</f>
        <v>86</v>
      </c>
      <c r="J22" s="4" t="str">
        <f aca="false">IF(H22&gt;=90,"O",IF(H22&gt;=75,"A+",IF(H22&gt;=60,"A",IF(H22&gt;=50,"B+","B"))))</f>
        <v>A+</v>
      </c>
    </row>
    <row r="23" customFormat="false" ht="15.75" hidden="false" customHeight="true" outlineLevel="0" collapsed="false">
      <c r="A23" s="6" t="n">
        <v>20</v>
      </c>
      <c r="B23" s="6" t="s">
        <v>36</v>
      </c>
      <c r="C23" s="6" t="s">
        <v>20</v>
      </c>
      <c r="D23" s="6" t="s">
        <v>14</v>
      </c>
      <c r="E23" s="6" t="s">
        <v>15</v>
      </c>
      <c r="F23" s="7" t="s">
        <v>16</v>
      </c>
      <c r="G23" s="6" t="n">
        <v>100</v>
      </c>
      <c r="H23" s="6" t="n">
        <v>85</v>
      </c>
      <c r="I23" s="6" t="n">
        <f aca="false">H23/G23*100</f>
        <v>85</v>
      </c>
      <c r="J23" s="6" t="str">
        <f aca="false">IF(H23&gt;=90,"O",IF(H23&gt;=75,"A+",IF(H23&gt;=60,"A",IF(H23&gt;=50,"B+","B"))))</f>
        <v>A+</v>
      </c>
    </row>
    <row r="24" customFormat="false" ht="15.75" hidden="false" customHeight="true" outlineLevel="0" collapsed="false">
      <c r="A24" s="4" t="n">
        <v>21</v>
      </c>
      <c r="B24" s="4" t="s">
        <v>37</v>
      </c>
      <c r="C24" s="4" t="s">
        <v>20</v>
      </c>
      <c r="D24" s="4" t="s">
        <v>14</v>
      </c>
      <c r="E24" s="4" t="s">
        <v>15</v>
      </c>
      <c r="F24" s="5" t="s">
        <v>16</v>
      </c>
      <c r="G24" s="4" t="n">
        <v>100</v>
      </c>
      <c r="H24" s="4" t="n">
        <v>85</v>
      </c>
      <c r="I24" s="4" t="n">
        <f aca="false">H24/G24*100</f>
        <v>85</v>
      </c>
      <c r="J24" s="4" t="str">
        <f aca="false">IF(H24&gt;=90,"O",IF(H24&gt;=75,"A+",IF(H24&gt;=60,"A",IF(H24&gt;=50,"B+","B"))))</f>
        <v>A+</v>
      </c>
    </row>
    <row r="25" customFormat="false" ht="15.75" hidden="false" customHeight="true" outlineLevel="0" collapsed="false">
      <c r="A25" s="6" t="n">
        <v>22</v>
      </c>
      <c r="B25" s="6" t="s">
        <v>38</v>
      </c>
      <c r="C25" s="6" t="s">
        <v>20</v>
      </c>
      <c r="D25" s="6" t="s">
        <v>14</v>
      </c>
      <c r="E25" s="6" t="s">
        <v>15</v>
      </c>
      <c r="F25" s="7" t="s">
        <v>16</v>
      </c>
      <c r="G25" s="6" t="n">
        <v>100</v>
      </c>
      <c r="H25" s="6" t="n">
        <v>76</v>
      </c>
      <c r="I25" s="6" t="n">
        <f aca="false">H25/G25*100</f>
        <v>76</v>
      </c>
      <c r="J25" s="6" t="str">
        <f aca="false">IF(H25&gt;=90,"O",IF(H25&gt;=75,"A+",IF(H25&gt;=60,"A",IF(H25&gt;=50,"B+","B"))))</f>
        <v>A+</v>
      </c>
    </row>
    <row r="26" customFormat="false" ht="15.75" hidden="false" customHeight="true" outlineLevel="0" collapsed="false">
      <c r="A26" s="4" t="n">
        <v>23</v>
      </c>
      <c r="B26" s="4" t="s">
        <v>39</v>
      </c>
      <c r="C26" s="4" t="s">
        <v>20</v>
      </c>
      <c r="D26" s="4" t="s">
        <v>14</v>
      </c>
      <c r="E26" s="4" t="s">
        <v>15</v>
      </c>
      <c r="F26" s="5" t="s">
        <v>16</v>
      </c>
      <c r="G26" s="4" t="n">
        <v>100</v>
      </c>
      <c r="H26" s="4" t="n">
        <v>85</v>
      </c>
      <c r="I26" s="4" t="n">
        <f aca="false">H26/G26*100</f>
        <v>85</v>
      </c>
      <c r="J26" s="4" t="str">
        <f aca="false">IF(H26&gt;=90,"O",IF(H26&gt;=75,"A+",IF(H26&gt;=60,"A",IF(H26&gt;=50,"B+","B"))))</f>
        <v>A+</v>
      </c>
    </row>
    <row r="27" customFormat="false" ht="15.75" hidden="false" customHeight="true" outlineLevel="0" collapsed="false">
      <c r="A27" s="6" t="n">
        <v>24</v>
      </c>
      <c r="B27" s="6" t="s">
        <v>40</v>
      </c>
      <c r="C27" s="6" t="s">
        <v>20</v>
      </c>
      <c r="D27" s="6" t="s">
        <v>14</v>
      </c>
      <c r="E27" s="6" t="s">
        <v>15</v>
      </c>
      <c r="F27" s="7" t="s">
        <v>16</v>
      </c>
      <c r="G27" s="6" t="n">
        <v>100</v>
      </c>
      <c r="H27" s="6" t="n">
        <v>92</v>
      </c>
      <c r="I27" s="6" t="n">
        <f aca="false">H27/G27*100</f>
        <v>92</v>
      </c>
      <c r="J27" s="6" t="str">
        <f aca="false">IF(H27&gt;=90,"O",IF(H27&gt;=75,"A+",IF(H27&gt;=60,"A",IF(H27&gt;=50,"B+","B"))))</f>
        <v>O</v>
      </c>
    </row>
    <row r="28" customFormat="false" ht="15.75" hidden="false" customHeight="true" outlineLevel="0" collapsed="false">
      <c r="A28" s="4" t="n">
        <v>25</v>
      </c>
      <c r="B28" s="4" t="s">
        <v>41</v>
      </c>
      <c r="C28" s="4" t="s">
        <v>20</v>
      </c>
      <c r="D28" s="4" t="s">
        <v>14</v>
      </c>
      <c r="E28" s="4" t="s">
        <v>15</v>
      </c>
      <c r="F28" s="5" t="s">
        <v>16</v>
      </c>
      <c r="G28" s="4" t="n">
        <v>100</v>
      </c>
      <c r="H28" s="4" t="n">
        <v>75</v>
      </c>
      <c r="I28" s="4" t="n">
        <f aca="false">H28/G28*100</f>
        <v>75</v>
      </c>
      <c r="J28" s="4" t="str">
        <f aca="false">IF(H28&gt;=90,"O",IF(H28&gt;=75,"A+",IF(H28&gt;=60,"A",IF(H28&gt;=50,"B+","B"))))</f>
        <v>A+</v>
      </c>
    </row>
    <row r="29" customFormat="false" ht="15.75" hidden="false" customHeight="true" outlineLevel="0" collapsed="false">
      <c r="A29" s="6" t="n">
        <v>26</v>
      </c>
      <c r="B29" s="6" t="s">
        <v>42</v>
      </c>
      <c r="C29" s="6" t="s">
        <v>20</v>
      </c>
      <c r="D29" s="6" t="s">
        <v>14</v>
      </c>
      <c r="E29" s="6" t="s">
        <v>15</v>
      </c>
      <c r="F29" s="7" t="s">
        <v>16</v>
      </c>
      <c r="G29" s="6" t="n">
        <v>100</v>
      </c>
      <c r="H29" s="6" t="n">
        <v>79</v>
      </c>
      <c r="I29" s="6" t="n">
        <f aca="false">H29/G29*100</f>
        <v>79</v>
      </c>
      <c r="J29" s="6" t="str">
        <f aca="false">IF(H29&gt;=90,"O",IF(H29&gt;=75,"A+",IF(H29&gt;=60,"A",IF(H29&gt;=50,"B+","B"))))</f>
        <v>A+</v>
      </c>
    </row>
    <row r="30" customFormat="false" ht="15.75" hidden="false" customHeight="true" outlineLevel="0" collapsed="false">
      <c r="A30" s="4" t="n">
        <v>27</v>
      </c>
      <c r="B30" s="4" t="s">
        <v>43</v>
      </c>
      <c r="C30" s="4" t="s">
        <v>20</v>
      </c>
      <c r="D30" s="4" t="s">
        <v>14</v>
      </c>
      <c r="E30" s="4" t="s">
        <v>15</v>
      </c>
      <c r="F30" s="5" t="s">
        <v>16</v>
      </c>
      <c r="G30" s="4" t="n">
        <v>100</v>
      </c>
      <c r="H30" s="4" t="n">
        <v>85</v>
      </c>
      <c r="I30" s="4" t="n">
        <f aca="false">H30/G30*100</f>
        <v>85</v>
      </c>
      <c r="J30" s="4" t="str">
        <f aca="false">IF(H30&gt;=90,"O",IF(H30&gt;=75,"A+",IF(H30&gt;=60,"A",IF(H30&gt;=50,"B+","B"))))</f>
        <v>A+</v>
      </c>
    </row>
    <row r="31" customFormat="false" ht="15.75" hidden="false" customHeight="true" outlineLevel="0" collapsed="false">
      <c r="A31" s="6" t="n">
        <v>28</v>
      </c>
      <c r="B31" s="6" t="s">
        <v>44</v>
      </c>
      <c r="C31" s="6" t="s">
        <v>20</v>
      </c>
      <c r="D31" s="6" t="s">
        <v>14</v>
      </c>
      <c r="E31" s="6" t="s">
        <v>15</v>
      </c>
      <c r="F31" s="7" t="s">
        <v>16</v>
      </c>
      <c r="G31" s="6" t="n">
        <v>100</v>
      </c>
      <c r="H31" s="6" t="n">
        <v>85</v>
      </c>
      <c r="I31" s="6" t="n">
        <f aca="false">H31/G31*100</f>
        <v>85</v>
      </c>
      <c r="J31" s="6" t="str">
        <f aca="false">IF(H31&gt;=90,"O",IF(H31&gt;=75,"A+",IF(H31&gt;=60,"A",IF(H31&gt;=50,"B+","B"))))</f>
        <v>A+</v>
      </c>
    </row>
    <row r="32" customFormat="false" ht="15.75" hidden="false" customHeight="true" outlineLevel="0" collapsed="false">
      <c r="A32" s="4" t="n">
        <v>29</v>
      </c>
      <c r="B32" s="4" t="s">
        <v>45</v>
      </c>
      <c r="C32" s="4" t="s">
        <v>20</v>
      </c>
      <c r="D32" s="4" t="s">
        <v>14</v>
      </c>
      <c r="E32" s="4" t="s">
        <v>15</v>
      </c>
      <c r="F32" s="5" t="s">
        <v>16</v>
      </c>
      <c r="G32" s="4" t="n">
        <v>100</v>
      </c>
      <c r="H32" s="4" t="n">
        <v>68</v>
      </c>
      <c r="I32" s="4" t="n">
        <f aca="false">H32/G32*100</f>
        <v>68</v>
      </c>
      <c r="J32" s="4" t="str">
        <f aca="false">IF(H32&gt;=90,"O",IF(H32&gt;=75,"A+",IF(H32&gt;=60,"A",IF(H32&gt;=50,"B+","B"))))</f>
        <v>A</v>
      </c>
    </row>
    <row r="33" customFormat="false" ht="15.75" hidden="false" customHeight="true" outlineLevel="0" collapsed="false">
      <c r="A33" s="6" t="n">
        <v>30</v>
      </c>
      <c r="B33" s="6" t="s">
        <v>46</v>
      </c>
      <c r="C33" s="6" t="s">
        <v>20</v>
      </c>
      <c r="D33" s="6" t="s">
        <v>14</v>
      </c>
      <c r="E33" s="6" t="s">
        <v>15</v>
      </c>
      <c r="F33" s="7" t="s">
        <v>16</v>
      </c>
      <c r="G33" s="6" t="n">
        <v>100</v>
      </c>
      <c r="H33" s="6" t="n">
        <v>60</v>
      </c>
      <c r="I33" s="6" t="n">
        <f aca="false">H33/G33*100</f>
        <v>60</v>
      </c>
      <c r="J33" s="6" t="str">
        <f aca="false">IF(H33&gt;=90,"O",IF(H33&gt;=75,"A+",IF(H33&gt;=60,"A",IF(H33&gt;=50,"B+","B"))))</f>
        <v>A</v>
      </c>
    </row>
    <row r="34" customFormat="false" ht="15.75" hidden="false" customHeight="true" outlineLevel="0" collapsed="false">
      <c r="A34" s="4" t="n">
        <v>31</v>
      </c>
      <c r="B34" s="4" t="s">
        <v>47</v>
      </c>
      <c r="C34" s="4" t="s">
        <v>20</v>
      </c>
      <c r="D34" s="4" t="s">
        <v>14</v>
      </c>
      <c r="E34" s="4" t="s">
        <v>15</v>
      </c>
      <c r="F34" s="5" t="s">
        <v>16</v>
      </c>
      <c r="G34" s="4" t="n">
        <v>100</v>
      </c>
      <c r="H34" s="4" t="n">
        <v>91</v>
      </c>
      <c r="I34" s="4" t="n">
        <f aca="false">H34/G34*100</f>
        <v>91</v>
      </c>
      <c r="J34" s="4" t="str">
        <f aca="false">IF(H34&gt;=90,"O",IF(H34&gt;=75,"A+",IF(H34&gt;=60,"A",IF(H34&gt;=50,"B+","B"))))</f>
        <v>O</v>
      </c>
    </row>
    <row r="35" customFormat="false" ht="15.75" hidden="false" customHeight="true" outlineLevel="0" collapsed="false">
      <c r="A35" s="6" t="n">
        <v>32</v>
      </c>
      <c r="B35" s="6" t="s">
        <v>48</v>
      </c>
      <c r="C35" s="6" t="s">
        <v>49</v>
      </c>
      <c r="D35" s="6" t="s">
        <v>14</v>
      </c>
      <c r="E35" s="6" t="s">
        <v>15</v>
      </c>
      <c r="F35" s="7" t="s">
        <v>16</v>
      </c>
      <c r="G35" s="6" t="n">
        <v>100</v>
      </c>
      <c r="H35" s="6" t="n">
        <v>85</v>
      </c>
      <c r="I35" s="6" t="n">
        <f aca="false">H35/G35*100</f>
        <v>85</v>
      </c>
      <c r="J35" s="6" t="str">
        <f aca="false">IF(H35&gt;=90,"O",IF(H35&gt;=75,"A+",IF(H35&gt;=60,"A",IF(H35&gt;=50,"B+","B"))))</f>
        <v>A+</v>
      </c>
    </row>
    <row r="36" customFormat="false" ht="15.75" hidden="false" customHeight="true" outlineLevel="0" collapsed="false">
      <c r="A36" s="4" t="n">
        <v>33</v>
      </c>
      <c r="B36" s="4" t="s">
        <v>50</v>
      </c>
      <c r="C36" s="4" t="s">
        <v>49</v>
      </c>
      <c r="D36" s="4" t="s">
        <v>14</v>
      </c>
      <c r="E36" s="4" t="s">
        <v>15</v>
      </c>
      <c r="F36" s="5" t="s">
        <v>16</v>
      </c>
      <c r="G36" s="4" t="n">
        <v>100</v>
      </c>
      <c r="H36" s="4" t="n">
        <v>78</v>
      </c>
      <c r="I36" s="4" t="n">
        <f aca="false">H36/G36*100</f>
        <v>78</v>
      </c>
      <c r="J36" s="4" t="str">
        <f aca="false">IF(H36&gt;=90,"O",IF(H36&gt;=75,"A+",IF(H36&gt;=60,"A",IF(H36&gt;=50,"B+","B"))))</f>
        <v>A+</v>
      </c>
    </row>
    <row r="37" customFormat="false" ht="15.75" hidden="false" customHeight="true" outlineLevel="0" collapsed="false">
      <c r="A37" s="6" t="n">
        <v>34</v>
      </c>
      <c r="B37" s="6" t="s">
        <v>51</v>
      </c>
      <c r="C37" s="6" t="s">
        <v>49</v>
      </c>
      <c r="D37" s="6" t="s">
        <v>14</v>
      </c>
      <c r="E37" s="6" t="s">
        <v>15</v>
      </c>
      <c r="F37" s="7" t="s">
        <v>16</v>
      </c>
      <c r="G37" s="6" t="n">
        <v>100</v>
      </c>
      <c r="H37" s="6" t="n">
        <v>75</v>
      </c>
      <c r="I37" s="6" t="n">
        <f aca="false">H37/G37*100</f>
        <v>75</v>
      </c>
      <c r="J37" s="6" t="str">
        <f aca="false">IF(H37&gt;=90,"O",IF(H37&gt;=75,"A+",IF(H37&gt;=60,"A",IF(H37&gt;=50,"B+","B"))))</f>
        <v>A+</v>
      </c>
    </row>
    <row r="38" customFormat="false" ht="15.75" hidden="false" customHeight="true" outlineLevel="0" collapsed="false">
      <c r="A38" s="4" t="n">
        <v>35</v>
      </c>
      <c r="B38" s="4" t="s">
        <v>52</v>
      </c>
      <c r="C38" s="4" t="s">
        <v>49</v>
      </c>
      <c r="D38" s="4" t="s">
        <v>14</v>
      </c>
      <c r="E38" s="4" t="s">
        <v>15</v>
      </c>
      <c r="F38" s="5" t="s">
        <v>16</v>
      </c>
      <c r="G38" s="4" t="n">
        <v>100</v>
      </c>
      <c r="H38" s="4" t="n">
        <v>77</v>
      </c>
      <c r="I38" s="4" t="n">
        <f aca="false">H38/G38*100</f>
        <v>77</v>
      </c>
      <c r="J38" s="4" t="str">
        <f aca="false">IF(H38&gt;=90,"O",IF(H38&gt;=75,"A+",IF(H38&gt;=60,"A",IF(H38&gt;=50,"B+","B"))))</f>
        <v>A+</v>
      </c>
    </row>
    <row r="39" customFormat="false" ht="15.75" hidden="false" customHeight="true" outlineLevel="0" collapsed="false">
      <c r="A39" s="6" t="n">
        <v>36</v>
      </c>
      <c r="B39" s="6" t="s">
        <v>53</v>
      </c>
      <c r="C39" s="6" t="s">
        <v>49</v>
      </c>
      <c r="D39" s="6" t="s">
        <v>14</v>
      </c>
      <c r="E39" s="6" t="s">
        <v>15</v>
      </c>
      <c r="F39" s="7" t="s">
        <v>16</v>
      </c>
      <c r="G39" s="6" t="n">
        <v>100</v>
      </c>
      <c r="H39" s="6" t="n">
        <v>75</v>
      </c>
      <c r="I39" s="6" t="n">
        <f aca="false">H39/G39*100</f>
        <v>75</v>
      </c>
      <c r="J39" s="6" t="str">
        <f aca="false">IF(H39&gt;=90,"O",IF(H39&gt;=75,"A+",IF(H39&gt;=60,"A",IF(H39&gt;=50,"B+","B"))))</f>
        <v>A+</v>
      </c>
    </row>
    <row r="40" customFormat="false" ht="15.75" hidden="false" customHeight="true" outlineLevel="0" collapsed="false">
      <c r="A40" s="4" t="n">
        <v>37</v>
      </c>
      <c r="B40" s="4" t="s">
        <v>54</v>
      </c>
      <c r="C40" s="4" t="s">
        <v>49</v>
      </c>
      <c r="D40" s="4" t="s">
        <v>14</v>
      </c>
      <c r="E40" s="4" t="s">
        <v>15</v>
      </c>
      <c r="F40" s="5" t="s">
        <v>16</v>
      </c>
      <c r="G40" s="4" t="n">
        <v>100</v>
      </c>
      <c r="H40" s="4" t="n">
        <v>76</v>
      </c>
      <c r="I40" s="4" t="n">
        <f aca="false">H40/G40*100</f>
        <v>76</v>
      </c>
      <c r="J40" s="4" t="str">
        <f aca="false">IF(H40&gt;=90,"O",IF(H40&gt;=75,"A+",IF(H40&gt;=60,"A",IF(H40&gt;=50,"B+","B"))))</f>
        <v>A+</v>
      </c>
    </row>
    <row r="41" customFormat="false" ht="15.75" hidden="false" customHeight="true" outlineLevel="0" collapsed="false">
      <c r="A41" s="6" t="n">
        <v>38</v>
      </c>
      <c r="B41" s="6" t="s">
        <v>55</v>
      </c>
      <c r="C41" s="6" t="s">
        <v>49</v>
      </c>
      <c r="D41" s="6" t="s">
        <v>14</v>
      </c>
      <c r="E41" s="6" t="s">
        <v>15</v>
      </c>
      <c r="F41" s="7" t="s">
        <v>16</v>
      </c>
      <c r="G41" s="6" t="n">
        <v>100</v>
      </c>
      <c r="H41" s="6" t="n">
        <v>75</v>
      </c>
      <c r="I41" s="6" t="n">
        <f aca="false">H41/G41*100</f>
        <v>75</v>
      </c>
      <c r="J41" s="6" t="str">
        <f aca="false">IF(H41&gt;=90,"O",IF(H41&gt;=75,"A+",IF(H41&gt;=60,"A",IF(H41&gt;=50,"B+","B"))))</f>
        <v>A+</v>
      </c>
    </row>
    <row r="42" customFormat="false" ht="15.75" hidden="false" customHeight="true" outlineLevel="0" collapsed="false">
      <c r="A42" s="4" t="n">
        <v>39</v>
      </c>
      <c r="B42" s="4" t="s">
        <v>56</v>
      </c>
      <c r="C42" s="4" t="s">
        <v>49</v>
      </c>
      <c r="D42" s="4" t="s">
        <v>14</v>
      </c>
      <c r="E42" s="4" t="s">
        <v>15</v>
      </c>
      <c r="F42" s="5" t="s">
        <v>16</v>
      </c>
      <c r="G42" s="4" t="n">
        <v>100</v>
      </c>
      <c r="H42" s="4" t="n">
        <v>79</v>
      </c>
      <c r="I42" s="4" t="n">
        <f aca="false">H42/G42*100</f>
        <v>79</v>
      </c>
      <c r="J42" s="4" t="str">
        <f aca="false">IF(H42&gt;=90,"O",IF(H42&gt;=75,"A+",IF(H42&gt;=60,"A",IF(H42&gt;=50,"B+","B"))))</f>
        <v>A+</v>
      </c>
    </row>
    <row r="44" customFormat="false" ht="15" hidden="false" customHeight="false" outlineLevel="0" collapsed="false">
      <c r="A44" s="8" t="s">
        <v>57</v>
      </c>
      <c r="B44" s="8"/>
      <c r="C44" s="9"/>
      <c r="D44" s="9"/>
      <c r="E44" s="9"/>
      <c r="F44" s="9"/>
      <c r="G44" s="9"/>
      <c r="H44" s="9"/>
      <c r="I44" s="9"/>
      <c r="J44" s="9"/>
    </row>
    <row r="45" customFormat="false" ht="15" hidden="false" customHeight="false" outlineLevel="0" collapsed="false">
      <c r="A45" s="10" t="s">
        <v>58</v>
      </c>
      <c r="B45" s="11" t="n">
        <f aca="false">COUNTA(B4:B42)</f>
        <v>39</v>
      </c>
    </row>
    <row r="46" customFormat="false" ht="15" hidden="false" customHeight="false" outlineLevel="0" collapsed="false">
      <c r="A46" s="10" t="s">
        <v>59</v>
      </c>
      <c r="B46" s="11" t="n">
        <f aca="false">MAX(H4:H42)</f>
        <v>92</v>
      </c>
    </row>
    <row r="47" customFormat="false" ht="15" hidden="false" customHeight="false" outlineLevel="0" collapsed="false">
      <c r="A47" s="10" t="s">
        <v>60</v>
      </c>
      <c r="B47" s="11" t="n">
        <f aca="false">MIN(H4:H42)</f>
        <v>60</v>
      </c>
    </row>
    <row r="48" customFormat="false" ht="15" hidden="false" customHeight="false" outlineLevel="0" collapsed="false">
      <c r="A48" s="10" t="s">
        <v>61</v>
      </c>
      <c r="B48" s="11" t="n">
        <f aca="false">ROUND(AVERAGE(H4:H42),2)</f>
        <v>80.67</v>
      </c>
    </row>
    <row r="49" customFormat="false" ht="15" hidden="false" customHeight="false" outlineLevel="0" collapsed="false">
      <c r="A49" s="10" t="s">
        <v>62</v>
      </c>
      <c r="B49" s="11" t="n">
        <f aca="false">COUNTIF(H4:H42,"&gt;=90")</f>
        <v>4</v>
      </c>
    </row>
    <row r="50" customFormat="false" ht="15" hidden="false" customHeight="false" outlineLevel="0" collapsed="false">
      <c r="A50" s="10" t="s">
        <v>63</v>
      </c>
      <c r="B50" s="11" t="n">
        <f aca="false">COUNTIFS(H4:H42,"&gt;=75",H4:H42,"&lt;90")</f>
        <v>31</v>
      </c>
    </row>
    <row r="51" customFormat="false" ht="15" hidden="false" customHeight="false" outlineLevel="0" collapsed="false">
      <c r="A51" s="10" t="s">
        <v>64</v>
      </c>
      <c r="B51" s="11" t="n">
        <f aca="false">COUNTIFS(H4:H42,"&gt;=60",H4:H42,"&lt;75")</f>
        <v>4</v>
      </c>
    </row>
    <row r="52" customFormat="false" ht="15" hidden="false" customHeight="false" outlineLevel="0" collapsed="false">
      <c r="A52" s="10" t="s">
        <v>65</v>
      </c>
      <c r="B52" s="11" t="n">
        <f aca="false">COUNTIF(H4:H42,"&lt;60")</f>
        <v>0</v>
      </c>
    </row>
  </sheetData>
  <mergeCells count="3">
    <mergeCell ref="A1:J1"/>
    <mergeCell ref="A2:J2"/>
    <mergeCell ref="A44:B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2026-05-16T02:04:34Z</dcterms:created>
  <dc:creator>openpyxl</dc:creator>
  <dc:description/>
  <dc:language>en-US</dc:language>
  <cp:lastModifiedBy/>
  <dcterms:modified xsi:type="dcterms:W3CDTF">2026-05-16T02:04:34Z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